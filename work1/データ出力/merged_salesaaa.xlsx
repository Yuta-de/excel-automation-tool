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240" yWindow="1440" windowWidth="21600" windowHeight="11235" tabRatio="600" firstSheet="0" activeTab="4" autoFilterDateGrouping="1"/>
  </bookViews>
  <sheets>
    <sheet xmlns:r="http://schemas.openxmlformats.org/officeDocument/2006/relationships" name="データ統合" sheetId="1" state="visible" r:id="rId1"/>
    <sheet xmlns:r="http://schemas.openxmlformats.org/officeDocument/2006/relationships" name="カテゴリ別売上" sheetId="2" state="visible" r:id="rId2"/>
    <sheet xmlns:r="http://schemas.openxmlformats.org/officeDocument/2006/relationships" name="商品別売上" sheetId="3" state="visible" r:id="rId3"/>
    <sheet xmlns:r="http://schemas.openxmlformats.org/officeDocument/2006/relationships" name="店舗別売上" sheetId="4" state="visible" r:id="rId4"/>
    <sheet xmlns:r="http://schemas.openxmlformats.org/officeDocument/2006/relationships" name="日付別売上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\-mm\-dd\ h:mm:ss"/>
    <numFmt numFmtId="166" formatCode="yyyy-mm-dd h:mm:ss"/>
  </numFmts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1"/>
    </font>
    <font>
      <name val="ＭＳ Ｐゴシック"/>
      <charset val="128"/>
      <family val="3"/>
      <sz val="6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3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ja-JP" altLang="en-US"/>
              <a:t>カテゴリ別売上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strRef>
              <f>カテゴリ別売上!$B$1</f>
              <strCache>
                <ptCount val="1"/>
                <pt idx="0">
                  <v>売上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cat>
            <numRef>
              <f>カテゴリ別売上!$A$2:$A$3</f>
              <numCache>
                <formatCode>General</formatCode>
                <ptCount val="2"/>
              </numCache>
            </numRef>
          </cat>
          <val>
            <numRef>
              <f>カテゴリ別売上!$B$2:$B$3</f>
              <numCache>
                <formatCode>General</formatCode>
                <ptCount val="2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ja-JP" altLang="en-US"/>
              <a:t>商品別売上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商品別売上!$B$1</f>
              <strCache>
                <ptCount val="1"/>
                <pt idx="0">
                  <v>売上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商品別売上!$A$2:$A$6</f>
              <strCache>
                <ptCount val="1"/>
                <pt idx="0">
                  <v>りんご</v>
                </pt>
              </strCache>
            </strRef>
          </cat>
          <val>
            <numRef>
              <f>商品別売上!$B$2:$B$6</f>
              <numCache>
                <formatCode>General</formatCode>
                <ptCount val="5"/>
                <pt idx="0">
                  <v>4080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商品名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売上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ja-JP" altLang="en-US"/>
              <a:t>店舗別売上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店舗別売上!$B$1</f>
              <strCache>
                <ptCount val="1"/>
                <pt idx="0">
                  <v>売上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店舗別売上!$A$2:$A$4</f>
              <strCache>
                <ptCount val="1"/>
                <pt idx="0">
                  <v>store_A</v>
                </pt>
              </strCache>
            </strRef>
          </cat>
          <val>
            <numRef>
              <f>店舗別売上!$B$2:$B$4</f>
              <numCache>
                <formatCode>General</formatCode>
                <ptCount val="3"/>
                <pt idx="0">
                  <v>6360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店舗名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売上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ja-JP" altLang="en-US"/>
              <a:t>日付別売上推移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日付別売上!$B$1</f>
              <strCache>
                <ptCount val="1"/>
                <pt idx="0">
                  <v>売上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日付別売上!$A$2:$A$4</f>
              <numCache>
                <formatCode>yyyy\-mm\-dd\ h:mm:ss</formatCode>
                <ptCount val="3"/>
                <pt idx="0">
                  <v>45292</v>
                </pt>
                <pt idx="1">
                  <v>45293</v>
                </pt>
                <pt idx="2">
                  <v>45294</v>
                </pt>
              </numCache>
            </numRef>
          </cat>
          <val>
            <numRef>
              <f>日付別売上!$B$2:$B$4</f>
              <numCache>
                <formatCode>General</formatCode>
                <ptCount val="3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日付</a:t>
                </a:r>
              </a:p>
            </rich>
          </tx>
          <overlay val="0"/>
        </title>
        <numFmt formatCode="yyyy\-mm\-dd\ h:mm:ss" sourceLinked="1"/>
        <majorTickMark val="none"/>
        <minorTickMark val="none"/>
        <tickLblPos val="nextTo"/>
        <crossAx val="100"/>
        <crosses val="autoZero"/>
        <auto val="0"/>
        <lblAlgn val="ctr"/>
        <lblOffset val="100"/>
        <noMultiLvlLbl val="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ja-JP" altLang="en-US"/>
                  <a:t>売上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D19" sqref="D19"/>
    </sheetView>
  </sheetViews>
  <sheetFormatPr baseColWidth="8" defaultRowHeight="13.2"/>
  <cols>
    <col width="20.44140625" customWidth="1" min="2" max="2"/>
  </cols>
  <sheetData>
    <row r="1">
      <c r="A1" s="4" t="inlineStr">
        <is>
          <t>店舗名</t>
        </is>
      </c>
      <c r="B1" s="4" t="inlineStr">
        <is>
          <t>日付</t>
        </is>
      </c>
      <c r="C1" s="4" t="inlineStr">
        <is>
          <t>商品名</t>
        </is>
      </c>
      <c r="D1" s="4" t="inlineStr">
        <is>
          <t>カテゴリ</t>
        </is>
      </c>
      <c r="E1" s="3" t="inlineStr">
        <is>
          <t>数量</t>
        </is>
      </c>
      <c r="F1" s="3" t="inlineStr">
        <is>
          <t>単価</t>
        </is>
      </c>
      <c r="G1" s="3" t="inlineStr">
        <is>
          <t>売上</t>
        </is>
      </c>
    </row>
    <row r="2">
      <c r="A2" t="inlineStr">
        <is>
          <t>store_A</t>
        </is>
      </c>
      <c r="B2" s="10" t="n">
        <v>45292</v>
      </c>
      <c r="C2" t="inlineStr">
        <is>
          <t>りんご</t>
        </is>
      </c>
      <c r="D2" t="inlineStr">
        <is>
          <t>食品</t>
        </is>
      </c>
      <c r="E2" t="n">
        <v>10</v>
      </c>
      <c r="F2" t="n">
        <v>120</v>
      </c>
      <c r="G2" t="n">
        <v>1200</v>
      </c>
    </row>
    <row r="3">
      <c r="A3" t="inlineStr">
        <is>
          <t>store_A</t>
        </is>
      </c>
      <c r="B3" s="10" t="n">
        <v>45292</v>
      </c>
      <c r="C3" t="inlineStr">
        <is>
          <t>バナナ</t>
        </is>
      </c>
      <c r="D3" t="inlineStr">
        <is>
          <t>食品</t>
        </is>
      </c>
      <c r="E3" t="n">
        <v>5</v>
      </c>
      <c r="F3" t="n">
        <v>80</v>
      </c>
      <c r="G3" t="n">
        <v>400</v>
      </c>
    </row>
    <row r="4">
      <c r="A4" t="inlineStr">
        <is>
          <t>store_B</t>
        </is>
      </c>
      <c r="B4" s="10" t="n">
        <v>45292</v>
      </c>
      <c r="C4" t="inlineStr">
        <is>
          <t>りんご</t>
        </is>
      </c>
      <c r="D4" t="inlineStr">
        <is>
          <t>食品</t>
        </is>
      </c>
      <c r="E4" t="n">
        <v>7</v>
      </c>
      <c r="F4" t="n">
        <v>120</v>
      </c>
      <c r="G4" t="n">
        <v>840</v>
      </c>
    </row>
    <row r="5">
      <c r="A5" t="inlineStr">
        <is>
          <t>store_B</t>
        </is>
      </c>
      <c r="B5" s="10" t="n">
        <v>45292</v>
      </c>
      <c r="C5" t="inlineStr">
        <is>
          <t>牛乳</t>
        </is>
      </c>
      <c r="D5" t="inlineStr">
        <is>
          <t>飲料</t>
        </is>
      </c>
      <c r="E5" t="n">
        <v>10</v>
      </c>
      <c r="F5" t="n">
        <v>150</v>
      </c>
      <c r="G5" t="n">
        <v>1500</v>
      </c>
    </row>
    <row r="6">
      <c r="A6" t="inlineStr">
        <is>
          <t>store_C</t>
        </is>
      </c>
      <c r="B6" s="10" t="n">
        <v>45292</v>
      </c>
      <c r="C6" t="inlineStr">
        <is>
          <t>パン</t>
        </is>
      </c>
      <c r="D6" t="inlineStr">
        <is>
          <t>食品</t>
        </is>
      </c>
      <c r="E6" t="n">
        <v>18</v>
      </c>
      <c r="F6" t="n">
        <v>100</v>
      </c>
      <c r="G6" t="n">
        <v>1800</v>
      </c>
    </row>
    <row r="7">
      <c r="A7" t="inlineStr">
        <is>
          <t>store_A</t>
        </is>
      </c>
      <c r="B7" s="11" t="n">
        <v>45293</v>
      </c>
      <c r="C7" t="inlineStr">
        <is>
          <t>りんご</t>
        </is>
      </c>
      <c r="D7" t="inlineStr">
        <is>
          <t>食品</t>
        </is>
      </c>
      <c r="E7" t="n">
        <v>8</v>
      </c>
      <c r="F7" t="n">
        <v>120</v>
      </c>
      <c r="G7" t="n">
        <v>960</v>
      </c>
    </row>
    <row r="8">
      <c r="A8" t="inlineStr">
        <is>
          <t>store_A</t>
        </is>
      </c>
      <c r="B8" s="11" t="n">
        <v>45293</v>
      </c>
      <c r="C8" t="inlineStr">
        <is>
          <t>牛乳</t>
        </is>
      </c>
      <c r="D8" t="inlineStr">
        <is>
          <t>飲料</t>
        </is>
      </c>
      <c r="E8" t="n">
        <v>12</v>
      </c>
      <c r="F8" t="n">
        <v>150</v>
      </c>
      <c r="G8" t="n">
        <v>1800</v>
      </c>
    </row>
    <row r="9">
      <c r="A9" t="inlineStr">
        <is>
          <t>store_B</t>
        </is>
      </c>
      <c r="B9" s="11" t="n">
        <v>45293</v>
      </c>
      <c r="C9" t="inlineStr">
        <is>
          <t>パン</t>
        </is>
      </c>
      <c r="D9" t="inlineStr">
        <is>
          <t>食品</t>
        </is>
      </c>
      <c r="E9" t="n">
        <v>15</v>
      </c>
      <c r="F9" t="n">
        <v>100</v>
      </c>
      <c r="G9" t="n">
        <v>1500</v>
      </c>
    </row>
    <row r="10">
      <c r="A10" t="inlineStr">
        <is>
          <t>store_C</t>
        </is>
      </c>
      <c r="B10" s="11" t="n">
        <v>45293</v>
      </c>
      <c r="C10" t="inlineStr">
        <is>
          <t>りんご</t>
        </is>
      </c>
      <c r="D10" t="inlineStr">
        <is>
          <t>食品</t>
        </is>
      </c>
      <c r="E10" t="n">
        <v>9</v>
      </c>
      <c r="F10" t="n">
        <v>120</v>
      </c>
      <c r="G10" t="n">
        <v>1080</v>
      </c>
    </row>
    <row r="11">
      <c r="A11" t="inlineStr">
        <is>
          <t>store_C</t>
        </is>
      </c>
      <c r="B11" s="11" t="n">
        <v>45293</v>
      </c>
      <c r="C11" t="inlineStr">
        <is>
          <t>牛乳</t>
        </is>
      </c>
      <c r="D11" t="inlineStr">
        <is>
          <t>飲料</t>
        </is>
      </c>
      <c r="E11" t="n">
        <v>14</v>
      </c>
      <c r="F11" t="n">
        <v>150</v>
      </c>
      <c r="G11" t="n">
        <v>2100</v>
      </c>
    </row>
    <row r="12">
      <c r="A12" t="inlineStr">
        <is>
          <t>store_A</t>
        </is>
      </c>
      <c r="B12" s="11" t="n">
        <v>45294</v>
      </c>
      <c r="C12" t="inlineStr">
        <is>
          <t>パン</t>
        </is>
      </c>
      <c r="D12" t="inlineStr">
        <is>
          <t>食品</t>
        </is>
      </c>
      <c r="E12" t="n">
        <v>20</v>
      </c>
      <c r="F12" t="n">
        <v>100</v>
      </c>
      <c r="G12" t="n">
        <v>2000</v>
      </c>
    </row>
    <row r="13">
      <c r="A13" t="inlineStr">
        <is>
          <t>store_B</t>
        </is>
      </c>
      <c r="B13" s="11" t="n">
        <v>45294</v>
      </c>
      <c r="C13" t="inlineStr">
        <is>
          <t>バナナ</t>
        </is>
      </c>
      <c r="D13" t="inlineStr">
        <is>
          <t>食品</t>
        </is>
      </c>
      <c r="E13" t="n">
        <v>12</v>
      </c>
      <c r="F13" t="n">
        <v>80</v>
      </c>
      <c r="G13" t="n">
        <v>960</v>
      </c>
    </row>
    <row r="14">
      <c r="A14" t="inlineStr">
        <is>
          <t>store_B</t>
        </is>
      </c>
      <c r="B14" s="11" t="n">
        <v>45294</v>
      </c>
      <c r="C14" t="inlineStr">
        <is>
          <t>ヨーグルト</t>
        </is>
      </c>
      <c r="D14" t="inlineStr">
        <is>
          <t>食品</t>
        </is>
      </c>
      <c r="E14" t="n">
        <v>6</v>
      </c>
      <c r="F14" t="n">
        <v>180</v>
      </c>
      <c r="G14" t="n">
        <v>1080</v>
      </c>
    </row>
    <row r="15">
      <c r="A15" t="inlineStr">
        <is>
          <t>store_C</t>
        </is>
      </c>
      <c r="B15" s="11" t="n">
        <v>45294</v>
      </c>
      <c r="C15" t="inlineStr">
        <is>
          <t>ヨーグルト</t>
        </is>
      </c>
      <c r="D15" t="inlineStr">
        <is>
          <t>食品</t>
        </is>
      </c>
      <c r="E15" t="n">
        <v>8</v>
      </c>
      <c r="F15" t="n">
        <v>180</v>
      </c>
      <c r="G15" t="n">
        <v>1440</v>
      </c>
    </row>
    <row r="16">
      <c r="A16" t="inlineStr">
        <is>
          <t>store_C</t>
        </is>
      </c>
      <c r="B16" s="11" t="n">
        <v>45294</v>
      </c>
      <c r="C16" t="inlineStr">
        <is>
          <t>バナナ</t>
        </is>
      </c>
      <c r="D16" t="inlineStr">
        <is>
          <t>食品</t>
        </is>
      </c>
      <c r="E16" t="n">
        <v>10</v>
      </c>
      <c r="F16" t="n">
        <v>80</v>
      </c>
      <c r="G16" t="n">
        <v>800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C5" sqref="C5"/>
    </sheetView>
  </sheetViews>
  <sheetFormatPr baseColWidth="8" defaultRowHeight="13.2"/>
  <sheetData>
    <row r="1">
      <c r="A1" s="5" t="inlineStr">
        <is>
          <t>カテゴリ</t>
        </is>
      </c>
      <c r="B1" s="7" t="inlineStr">
        <is>
          <t>売上</t>
        </is>
      </c>
    </row>
    <row r="2">
      <c r="A2" s="6" t="inlineStr">
        <is>
          <t>食品</t>
        </is>
      </c>
      <c r="B2" s="6" t="n">
        <v>14060</v>
      </c>
    </row>
    <row r="3">
      <c r="A3" s="6" t="inlineStr">
        <is>
          <t>飲料</t>
        </is>
      </c>
      <c r="B3" s="6" t="n">
        <v>5400</v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3" sqref="A3:B6"/>
    </sheetView>
  </sheetViews>
  <sheetFormatPr baseColWidth="8" defaultRowHeight="13.2"/>
  <sheetData>
    <row r="1">
      <c r="A1" s="8" t="inlineStr">
        <is>
          <t>商品名</t>
        </is>
      </c>
      <c r="B1" s="9" t="inlineStr">
        <is>
          <t>売上</t>
        </is>
      </c>
    </row>
    <row r="2">
      <c r="A2" t="inlineStr">
        <is>
          <t>りんご</t>
        </is>
      </c>
      <c r="B2" t="n">
        <v>4080</v>
      </c>
    </row>
    <row r="3">
      <c r="A3" t="inlineStr">
        <is>
          <t>バナナ</t>
        </is>
      </c>
      <c r="B3" t="n">
        <v>2160</v>
      </c>
    </row>
    <row r="4">
      <c r="A4" t="inlineStr">
        <is>
          <t>パン</t>
        </is>
      </c>
      <c r="B4" t="n">
        <v>5300</v>
      </c>
    </row>
    <row r="5">
      <c r="A5" t="inlineStr">
        <is>
          <t>ヨーグルト</t>
        </is>
      </c>
      <c r="B5" t="n">
        <v>2520</v>
      </c>
    </row>
    <row r="6">
      <c r="A6" t="inlineStr">
        <is>
          <t>牛乳</t>
        </is>
      </c>
      <c r="B6" t="n">
        <v>5400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3" sqref="A3:B5"/>
    </sheetView>
  </sheetViews>
  <sheetFormatPr baseColWidth="8" defaultRowHeight="13.2"/>
  <sheetData>
    <row r="1">
      <c r="A1" s="8" t="inlineStr">
        <is>
          <t>店舗名</t>
        </is>
      </c>
      <c r="B1" s="9" t="inlineStr">
        <is>
          <t>売上</t>
        </is>
      </c>
    </row>
    <row r="2">
      <c r="A2" t="inlineStr">
        <is>
          <t>store_A</t>
        </is>
      </c>
      <c r="B2" t="n">
        <v>6360</v>
      </c>
    </row>
    <row r="3">
      <c r="A3" t="inlineStr">
        <is>
          <t>store_B</t>
        </is>
      </c>
      <c r="B3" t="n">
        <v>5880</v>
      </c>
    </row>
    <row r="4">
      <c r="A4" t="inlineStr">
        <is>
          <t>store_C</t>
        </is>
      </c>
      <c r="B4" t="n">
        <v>7220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99"/>
  <sheetViews>
    <sheetView tabSelected="1" workbookViewId="0">
      <selection activeCell="D7" sqref="D7"/>
    </sheetView>
  </sheetViews>
  <sheetFormatPr baseColWidth="8" defaultRowHeight="13.2"/>
  <sheetData>
    <row r="1">
      <c r="A1" s="8" t="inlineStr">
        <is>
          <t>日付</t>
        </is>
      </c>
      <c r="B1" s="9" t="inlineStr">
        <is>
          <t>売上</t>
        </is>
      </c>
    </row>
    <row r="2">
      <c r="A2" s="12" t="n">
        <v>45292</v>
      </c>
      <c r="B2" t="n">
        <v>5740</v>
      </c>
    </row>
    <row r="3">
      <c r="A3" s="12" t="n">
        <v>45293</v>
      </c>
      <c r="B3" t="n">
        <v>7440</v>
      </c>
    </row>
    <row r="4">
      <c r="A4" s="12" t="n">
        <v>45294</v>
      </c>
      <c r="B4" t="n">
        <v>6280</v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2026-03-20T04:59:37Z</dcterms:created>
  <dcterms:modified xmlns:dcterms="http://purl.org/dc/terms/" xmlns:xsi="http://www.w3.org/2001/XMLSchema-instance" xsi:type="dcterms:W3CDTF">2026-03-20T06:04:29Z</dcterms:modified>
  <cp:lastModifiedBy>裕大 平井</cp:lastModifiedBy>
</cp:coreProperties>
</file>